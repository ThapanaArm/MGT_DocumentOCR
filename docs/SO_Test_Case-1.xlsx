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500" firstSheet="0" activeTab="0" autoFilterDateGrouping="1"/>
  </bookViews>
  <sheets>
    <sheet xmlns:r="http://schemas.openxmlformats.org/officeDocument/2006/relationships" name="SO Test Case" sheetId="1" state="visible" r:id="rId1"/>
    <sheet xmlns:r="http://schemas.openxmlformats.org/officeDocument/2006/relationships" name="Business Rules" sheetId="2" state="visible" r:id="rId2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Tahoma"/>
      <charset val="1"/>
      <b val="1"/>
      <color rgb="FF000000"/>
      <sz val="10"/>
    </font>
    <font>
      <name val="Tahoma"/>
      <charset val="1"/>
      <color rgb="FF000000"/>
      <sz val="10"/>
    </font>
    <font>
      <name val="Tahoma"/>
      <charset val="1"/>
      <b val="1"/>
      <color rgb="FF000000"/>
      <sz val="12"/>
    </font>
    <font>
      <name val="FreeSans"/>
      <family val="2"/>
      <b val="1"/>
      <color rgb="FF000000"/>
      <sz val="10"/>
    </font>
    <font>
      <name val="Tahoma"/>
      <charset val="1"/>
      <b val="1"/>
      <color rgb="FFFFFFFF"/>
      <sz val="10"/>
    </font>
    <font>
      <name val="FreeSans"/>
      <family val="2"/>
      <color rgb="FF7F7F7F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FFFFF2CC"/>
        <bgColor rgb="FFFFFDF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FBFBF"/>
      </patternFill>
    </fill>
    <fill>
      <patternFill patternType="solid">
        <fgColor rgb="FFE2EFDA"/>
        <bgColor rgb="FFC6EFCE"/>
      </patternFill>
    </fill>
    <fill>
      <patternFill patternType="solid">
        <fgColor rgb="FFFFFDF0"/>
        <b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4" fontId="2" fillId="8" borderId="1" applyAlignment="1" pivotButton="0" quotePrefix="0" xfId="0">
      <alignment horizontal="center" vertical="center"/>
    </xf>
    <xf numFmtId="20" fontId="2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left" vertical="top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0"/>
      <rgbColor rgb="FFC6EFCE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baseColWidth="8" defaultColWidth="8.6328125" defaultRowHeight="14.5"/>
  <cols>
    <col width="6" customWidth="1" min="1" max="1"/>
    <col width="62" customWidth="1" min="2" max="2"/>
    <col width="9" customWidth="1" min="3" max="3"/>
    <col width="26" customWidth="1" min="4" max="4"/>
    <col width="12" customWidth="1" min="5" max="5"/>
    <col width="9" customWidth="1" min="6" max="6"/>
    <col width="3" customWidth="1" min="7" max="7"/>
    <col width="9" customWidth="1" min="8" max="8"/>
    <col width="26" customWidth="1" min="9" max="9"/>
    <col width="12" customWidth="1" min="10" max="10"/>
    <col width="9" customWidth="1" min="11" max="11"/>
  </cols>
  <sheetData>
    <row r="1" ht="15" customHeight="1">
      <c r="A1" s="1" t="inlineStr">
        <is>
          <t>DEV</t>
        </is>
      </c>
      <c r="B1" s="2" t="n"/>
      <c r="D1" s="3" t="inlineStr">
        <is>
          <t>Sales Order — Test Case</t>
        </is>
      </c>
      <c r="H1" s="4" t="inlineStr">
        <is>
          <t>DEV ผ่าน</t>
        </is>
      </c>
      <c r="I1" s="5">
        <f>SUMPRODUCT((A5:A84="")*(C5:C84=TRUE()))&amp;" / "&amp;COUNTBLANK(A5:A84)</f>
        <v/>
      </c>
    </row>
    <row r="2" ht="15" customHeight="1">
      <c r="A2" s="6" t="inlineStr">
        <is>
          <t>UAT</t>
        </is>
      </c>
      <c r="B2" s="2" t="n"/>
      <c r="D2" s="7" t="inlineStr">
        <is>
          <t>ช่องสีเหลือง = กรอกเอง · Status เลือกจาก dropdown · บรรทัดหัวข้อสรุปผลให้อัตโนมัติ</t>
        </is>
      </c>
      <c r="H2" s="4" t="inlineStr">
        <is>
          <t>UAT ผ่าน</t>
        </is>
      </c>
      <c r="I2" s="5">
        <f>SUMPRODUCT((A5:A84="")*(H5:H84="PASS"))&amp;" / "&amp;COUNTBLANK(A5:A84)</f>
        <v/>
      </c>
    </row>
    <row r="3" ht="15" customHeight="1">
      <c r="C3" s="8" t="inlineStr">
        <is>
          <t>DEV</t>
        </is>
      </c>
      <c r="H3" s="8" t="inlineStr">
        <is>
          <t>UAT</t>
        </is>
      </c>
    </row>
    <row r="4" ht="15" customHeight="1">
      <c r="A4" s="9" t="inlineStr">
        <is>
          <t>No.</t>
        </is>
      </c>
      <c r="B4" s="9" t="inlineStr">
        <is>
          <t>Test Case</t>
        </is>
      </c>
      <c r="C4" s="10" t="inlineStr">
        <is>
          <t>status</t>
        </is>
      </c>
      <c r="D4" s="9" t="inlineStr">
        <is>
          <t>Evidence (DEV)</t>
        </is>
      </c>
      <c r="E4" s="11" t="inlineStr">
        <is>
          <t>Date</t>
        </is>
      </c>
      <c r="F4" s="11" t="inlineStr">
        <is>
          <t>Time</t>
        </is>
      </c>
      <c r="H4" s="10" t="inlineStr">
        <is>
          <t>status</t>
        </is>
      </c>
      <c r="I4" s="9" t="inlineStr">
        <is>
          <t>Remark (UAT)</t>
        </is>
      </c>
      <c r="J4" s="11" t="inlineStr">
        <is>
          <t>Date</t>
        </is>
      </c>
      <c r="K4" s="11" t="inlineStr">
        <is>
          <t>Time</t>
        </is>
      </c>
    </row>
    <row r="5" ht="15" customHeight="1">
      <c r="A5" s="12" t="n">
        <v>1</v>
      </c>
      <c r="B5" s="13" t="inlineStr">
        <is>
          <t>Upload &amp; อ่านเอกสาร (OCR)</t>
        </is>
      </c>
      <c r="C5" s="12">
        <f>IF(COUNTIF(C6:C11,FALSE())&gt;0,FALSE(),IF(COUNTIF(C6:C11,TRUE())=6,TRUE(),""))</f>
        <v/>
      </c>
      <c r="D5" s="12" t="n"/>
      <c r="E5" s="12" t="n"/>
      <c r="F5" s="12" t="n"/>
      <c r="H5" s="12">
        <f>IF(COUNTIF(H6:H11,"FAIL")&gt;0,"FAIL",IF(COUNTIF(H6:H11,"PASS")=6,"PASS",""))</f>
        <v/>
      </c>
      <c r="I5" s="12" t="n"/>
      <c r="J5" s="12" t="n"/>
      <c r="K5" s="12" t="n"/>
    </row>
    <row r="6" ht="15" customHeight="1">
      <c r="A6" s="14" t="n"/>
      <c r="B6" s="15" t="inlineStr">
        <is>
          <t>1.1 Upload PDF 1 ไฟล์ → สร้างเอกสาร สถานะ Pending Mapping</t>
        </is>
      </c>
      <c r="C6" s="16" t="n"/>
      <c r="D6" s="17" t="n"/>
      <c r="E6" s="18" t="n"/>
      <c r="F6" s="19" t="n"/>
      <c r="H6" s="16" t="n"/>
      <c r="I6" s="17" t="n"/>
      <c r="J6" s="18" t="n"/>
      <c r="K6" s="19" t="n"/>
    </row>
    <row r="7" ht="15" customHeight="1">
      <c r="A7" s="14" t="n"/>
      <c r="B7" s="15" t="inlineStr">
        <is>
          <t>1.2 PDF มีรหัสผ่าน → ระบบถามรหัส แล้วอ่านได้</t>
        </is>
      </c>
      <c r="C7" s="16" t="n"/>
      <c r="D7" s="17" t="n"/>
      <c r="E7" s="18" t="n"/>
      <c r="F7" s="19" t="n"/>
      <c r="H7" s="16" t="n"/>
      <c r="I7" s="17" t="n"/>
      <c r="J7" s="18" t="n"/>
      <c r="K7" s="19" t="n"/>
    </row>
    <row r="8" ht="15" customHeight="1">
      <c r="A8" s="14" t="n"/>
      <c r="B8" s="15" t="inlineStr">
        <is>
          <t>1.3 Upload หลายไฟล์ (≤10) → หน้า Batch แสดงผลครบทุกไฟล์</t>
        </is>
      </c>
      <c r="C8" s="16" t="n"/>
      <c r="D8" s="17" t="n"/>
      <c r="E8" s="18" t="n"/>
      <c r="F8" s="19" t="n"/>
      <c r="H8" s="16" t="n"/>
      <c r="I8" s="17" t="n"/>
      <c r="J8" s="18" t="n"/>
      <c r="K8" s="19" t="n"/>
    </row>
    <row r="9" ht="30" customHeight="1">
      <c r="A9" s="14" t="n"/>
      <c r="B9" s="15" t="inlineStr">
        <is>
          <t>1.4 Header อ่านถูก (PO No., PO Date, Customer, Ship-to, Delivery Date, Currency)</t>
        </is>
      </c>
      <c r="C9" s="16" t="n"/>
      <c r="D9" s="17" t="n"/>
      <c r="E9" s="18" t="n"/>
      <c r="F9" s="19" t="n"/>
      <c r="H9" s="16" t="n"/>
      <c r="I9" s="17" t="n"/>
      <c r="J9" s="18" t="n"/>
      <c r="K9" s="19" t="n"/>
    </row>
    <row r="10" ht="30" customHeight="1">
      <c r="A10" s="14" t="n"/>
      <c r="B10" s="15" t="inlineStr">
        <is>
          <t>1.5 รายการสินค้าอ่านถูก (Code, Description, Qty, UoM, Price, Amount)</t>
        </is>
      </c>
      <c r="C10" s="16" t="n"/>
      <c r="D10" s="17" t="n"/>
      <c r="E10" s="18" t="n"/>
      <c r="F10" s="19" t="n"/>
      <c r="H10" s="16" t="n"/>
      <c r="I10" s="17" t="n"/>
      <c r="J10" s="18" t="n"/>
      <c r="K10" s="19" t="n"/>
    </row>
    <row r="11" ht="15" customHeight="1">
      <c r="A11" s="14" t="n"/>
      <c r="B11" s="15" t="inlineStr">
        <is>
          <t>1.6 Re-read Document → อ่านใหม่และอัปเดตข้อมูล</t>
        </is>
      </c>
      <c r="C11" s="16" t="n"/>
      <c r="D11" s="17" t="n"/>
      <c r="E11" s="18" t="n"/>
      <c r="F11" s="19" t="n"/>
      <c r="H11" s="16" t="n"/>
      <c r="I11" s="17" t="n"/>
      <c r="J11" s="18" t="n"/>
      <c r="K11" s="19" t="n"/>
    </row>
    <row r="12" ht="15" customHeight="1">
      <c r="A12" s="12" t="n">
        <v>2</v>
      </c>
      <c r="B12" s="13" t="inlineStr">
        <is>
          <t>หน่วยสินค้า &amp; Last Price (GLC)</t>
        </is>
      </c>
      <c r="C12" s="12">
        <f>IF(COUNTIF(C13:C17,FALSE())&gt;0,FALSE(),IF(COUNTIF(C13:C17,TRUE())=5,TRUE(),""))</f>
        <v/>
      </c>
      <c r="D12" s="12" t="n"/>
      <c r="E12" s="12" t="n"/>
      <c r="F12" s="12" t="n"/>
      <c r="H12" s="12">
        <f>IF(COUNTIF(H13:H17,"FAIL")&gt;0,"FAIL",IF(COUNTIF(H13:H17,"PASS")=5,"PASS",""))</f>
        <v/>
      </c>
      <c r="I12" s="12" t="n"/>
      <c r="J12" s="12" t="n"/>
      <c r="K12" s="12" t="n"/>
    </row>
    <row r="13" ht="30" customHeight="1">
      <c r="A13" s="14" t="n"/>
      <c r="B13" s="15" t="inlineStr">
        <is>
          <t>2.1 เลือกรหัสสินค้าถูกต้อง → ระบบแสดง Last Price ของลูกค้ารายนั้น</t>
        </is>
      </c>
      <c r="C13" s="16" t="n"/>
      <c r="D13" s="17" t="n"/>
      <c r="E13" s="18" t="n"/>
      <c r="F13" s="19" t="n"/>
      <c r="H13" s="16" t="n"/>
      <c r="I13" s="17" t="n"/>
      <c r="J13" s="18" t="n"/>
      <c r="K13" s="19" t="n"/>
    </row>
    <row r="14" ht="30" customHeight="1">
      <c r="A14" s="14" t="n"/>
      <c r="B14" s="15" t="inlineStr">
        <is>
          <t>2.2 สินค้าครั้งแรกของลูกค้า → popup ให้ CS เลือก/ยืนยันหน่วย (หลังสอบถาม Sales)</t>
        </is>
      </c>
      <c r="C14" s="16" t="n"/>
      <c r="D14" s="17" t="n"/>
      <c r="E14" s="18" t="n"/>
      <c r="F14" s="19" t="n"/>
      <c r="H14" s="16" t="n"/>
      <c r="I14" s="17" t="n"/>
      <c r="J14" s="18" t="n"/>
      <c r="K14" s="19" t="n"/>
    </row>
    <row r="15" ht="30" customHeight="1">
      <c r="A15" s="14" t="n"/>
      <c r="B15" s="15" t="inlineStr">
        <is>
          <t>2.3 ไม่มีการแปลงหน่วย: หน่วยที่ส่ง = หน่วยในเอกสาร (KG), Factor = 1, จำนวนไม่เปลี่ยน</t>
        </is>
      </c>
      <c r="C15" s="16" t="n"/>
      <c r="D15" s="17" t="n"/>
      <c r="E15" s="18" t="n"/>
      <c r="F15" s="19" t="n"/>
      <c r="H15" s="16" t="n"/>
      <c r="I15" s="17" t="n"/>
      <c r="J15" s="18" t="n"/>
      <c r="K15" s="19" t="n"/>
    </row>
    <row r="16" ht="30" customHeight="1">
      <c r="A16" s="14" t="n"/>
      <c r="B16" s="15" t="inlineStr">
        <is>
          <t>2.4 เอกสารเป็นกรัม / กิโลกรัม (ภาษาไทย) → แปลงเป็นรหัสหน่วย SAP (G / KG) ถูกต้อง</t>
        </is>
      </c>
      <c r="C16" s="16" t="n"/>
      <c r="D16" s="17" t="n"/>
      <c r="E16" s="18" t="n"/>
      <c r="F16" s="19" t="n"/>
      <c r="H16" s="16" t="n"/>
      <c r="I16" s="17" t="n"/>
      <c r="J16" s="18" t="n"/>
      <c r="K16" s="19" t="n"/>
    </row>
    <row r="17" ht="15" customHeight="1">
      <c r="A17" s="14" t="n"/>
      <c r="B17" s="15" t="inlineStr">
        <is>
          <t>2.5 UoM dropdown แสดงหน่วยของ Material จาก SAP</t>
        </is>
      </c>
      <c r="C17" s="16" t="n"/>
      <c r="D17" s="17" t="n"/>
      <c r="E17" s="18" t="n"/>
      <c r="F17" s="19" t="n"/>
      <c r="H17" s="16" t="n"/>
      <c r="I17" s="17" t="n"/>
      <c r="J17" s="18" t="n"/>
      <c r="K17" s="19" t="n"/>
    </row>
    <row r="18" ht="15" customHeight="1">
      <c r="A18" s="12" t="n">
        <v>3</v>
      </c>
      <c r="B18" s="13" t="inlineStr">
        <is>
          <t>VAT &amp; ยอดเงิน</t>
        </is>
      </c>
      <c r="C18" s="12">
        <f>IF(COUNTIF(C19:C23,FALSE())&gt;0,FALSE(),IF(COUNTIF(C19:C23,TRUE())=5,TRUE(),""))</f>
        <v/>
      </c>
      <c r="D18" s="12" t="n"/>
      <c r="E18" s="12" t="n"/>
      <c r="F18" s="12" t="n"/>
      <c r="H18" s="12">
        <f>IF(COUNTIF(H19:H23,"FAIL")&gt;0,"FAIL",IF(COUNTIF(H19:H23,"PASS")=5,"PASS",""))</f>
        <v/>
      </c>
      <c r="I18" s="12" t="n"/>
      <c r="J18" s="12" t="n"/>
      <c r="K18" s="12" t="n"/>
    </row>
    <row r="19" ht="30" customHeight="1">
      <c r="A19" s="14" t="n"/>
      <c r="B19" s="15" t="inlineStr">
        <is>
          <t>3.1 [GLC] เอกสารไม่แยก VAT → คิดแบบ Exclude VAT: Subtotal + VAT 7% = Grand Total แสดงท้ายบิล</t>
        </is>
      </c>
      <c r="C19" s="16" t="n"/>
      <c r="D19" s="17" t="n"/>
      <c r="E19" s="18" t="n"/>
      <c r="F19" s="19" t="n"/>
      <c r="H19" s="16" t="n"/>
      <c r="I19" s="17" t="n"/>
      <c r="J19" s="18" t="n"/>
      <c r="K19" s="19" t="n"/>
    </row>
    <row r="20" ht="30" customHeight="1">
      <c r="A20" s="14" t="n"/>
      <c r="B20" s="15" t="inlineStr">
        <is>
          <t>3.2 [GLC] เอกสารแยก VAT มาแล้ว → แสดง Subtotal / VAT / Grand Total ตามเอกสาร</t>
        </is>
      </c>
      <c r="C20" s="16" t="n"/>
      <c r="D20" s="17" t="n"/>
      <c r="E20" s="18" t="n"/>
      <c r="F20" s="19" t="n"/>
      <c r="H20" s="16" t="n"/>
      <c r="I20" s="17" t="n"/>
      <c r="J20" s="18" t="n"/>
      <c r="K20" s="19" t="n"/>
    </row>
    <row r="21" ht="30" customHeight="1">
      <c r="A21" s="14" t="n"/>
      <c r="B21" s="15" t="inlineStr">
        <is>
          <t>3.3 [GLC] เลือกโหมด Include VAT → ถอด VAT 7% ออกจากยอด ไม่บวกซ้ำ</t>
        </is>
      </c>
      <c r="C21" s="16" t="n"/>
      <c r="D21" s="17" t="n"/>
      <c r="E21" s="18" t="n"/>
      <c r="F21" s="19" t="n"/>
      <c r="H21" s="16" t="n"/>
      <c r="I21" s="17" t="n"/>
      <c r="J21" s="18" t="n"/>
      <c r="K21" s="19" t="n"/>
    </row>
    <row r="22" ht="30" customHeight="1">
      <c r="A22" s="14" t="n"/>
      <c r="B22" s="15" t="inlineStr">
        <is>
          <t>3.4 สกุลเงิน USD → ไม่คำนวณ VAT (VAT = 0, Subtotal = Grand Total) และไม่มีตัวเลือกโหมด VAT</t>
        </is>
      </c>
      <c r="C22" s="16" t="n"/>
      <c r="D22" s="17" t="n"/>
      <c r="E22" s="18" t="n"/>
      <c r="F22" s="19" t="n"/>
      <c r="H22" s="16" t="n"/>
      <c r="I22" s="17" t="n"/>
      <c r="J22" s="18" t="n"/>
      <c r="K22" s="19" t="n"/>
    </row>
    <row r="23" ht="30" customHeight="1">
      <c r="A23" s="14" t="n"/>
      <c r="B23" s="15" t="inlineStr">
        <is>
          <t>3.5 ยอดรวมนับเฉพาะรายการที่ Map สำเร็จ (รายการที่ map ไม่ได้ไม่ถูกนับ)</t>
        </is>
      </c>
      <c r="C23" s="16" t="n"/>
      <c r="D23" s="17" t="n"/>
      <c r="E23" s="18" t="n"/>
      <c r="F23" s="19" t="n"/>
      <c r="H23" s="16" t="n"/>
      <c r="I23" s="17" t="n"/>
      <c r="J23" s="18" t="n"/>
      <c r="K23" s="19" t="n"/>
    </row>
    <row r="24" ht="15" customHeight="1">
      <c r="A24" s="12" t="n">
        <v>4</v>
      </c>
      <c r="B24" s="13" t="inlineStr">
        <is>
          <t>Mapping GLC (SAP)</t>
        </is>
      </c>
      <c r="C24" s="12">
        <f>IF(COUNTIF(C25:C29,FALSE())&gt;0,FALSE(),IF(COUNTIF(C25:C29,TRUE())=5,TRUE(),""))</f>
        <v/>
      </c>
      <c r="D24" s="12" t="n"/>
      <c r="E24" s="12" t="n"/>
      <c r="F24" s="12" t="n"/>
      <c r="H24" s="12">
        <f>IF(COUNTIF(H25:H29,"FAIL")&gt;0,"FAIL",IF(COUNTIF(H25:H29,"PASS")=5,"PASS",""))</f>
        <v/>
      </c>
      <c r="I24" s="12" t="n"/>
      <c r="J24" s="12" t="n"/>
      <c r="K24" s="12" t="n"/>
    </row>
    <row r="25" ht="30" customHeight="1">
      <c r="A25" s="14" t="n"/>
      <c r="B25" s="15" t="inlineStr">
        <is>
          <t>4.1 Customer (Sold-to) map เป็นรหัส SAP ถูกต้อง (Tax ID ก่อน แล้วจึงชื่อ)</t>
        </is>
      </c>
      <c r="C25" s="16" t="n"/>
      <c r="D25" s="17" t="n"/>
      <c r="E25" s="18" t="n"/>
      <c r="F25" s="19" t="n"/>
      <c r="H25" s="16" t="n"/>
      <c r="I25" s="17" t="n"/>
      <c r="J25" s="18" t="n"/>
      <c r="K25" s="19" t="n"/>
    </row>
    <row r="26" ht="15" customHeight="1">
      <c r="A26" s="14" t="n"/>
      <c r="B26" s="15" t="inlineStr">
        <is>
          <t>4.2 Ship-to map ถูกต้อง (ชื่อ/ที่อยู่ใกล้เคียง ≥ 70%)</t>
        </is>
      </c>
      <c r="C26" s="16" t="n"/>
      <c r="D26" s="17" t="n"/>
      <c r="E26" s="18" t="n"/>
      <c r="F26" s="19" t="n"/>
      <c r="H26" s="16" t="n"/>
      <c r="I26" s="17" t="n"/>
      <c r="J26" s="18" t="n"/>
      <c r="K26" s="19" t="n"/>
    </row>
    <row r="27" ht="30" customHeight="1">
      <c r="A27" s="14" t="n"/>
      <c r="B27" s="15" t="inlineStr">
        <is>
          <t>4.3 Material map เป็นรหัส SAP ถูกต้อง (รหัสสินค้าลูกค้า แล้วจึงชื่อ ≥ 85%)</t>
        </is>
      </c>
      <c r="C27" s="16" t="n"/>
      <c r="D27" s="17" t="n"/>
      <c r="E27" s="18" t="n"/>
      <c r="F27" s="19" t="n"/>
      <c r="H27" s="16" t="n"/>
      <c r="I27" s="17" t="n"/>
      <c r="J27" s="18" t="n"/>
      <c r="K27" s="19" t="n"/>
    </row>
    <row r="28" ht="30" customHeight="1">
      <c r="A28" s="14" t="n"/>
      <c r="B28" s="15" t="inlineStr">
        <is>
          <t>4.4 สินค้าที่ไม่มีใน Product Master (เช่น Speckare) → ขึ้น Not found แจ้งให้ตรวจ/เพิ่มใน Master</t>
        </is>
      </c>
      <c r="C28" s="16" t="n"/>
      <c r="D28" s="17" t="n"/>
      <c r="E28" s="18" t="n"/>
      <c r="F28" s="19" t="n"/>
      <c r="H28" s="16" t="n"/>
      <c r="I28" s="17" t="n"/>
      <c r="J28" s="18" t="n"/>
      <c r="K28" s="19" t="n"/>
    </row>
    <row r="29" ht="15" customHeight="1">
      <c r="A29" s="14" t="n"/>
      <c r="B29" s="15" t="inlineStr">
        <is>
          <t>4.5 Map ไม่ครบ → สถานะ Mapping Incomplete และส่ง SAP ไม่ได้</t>
        </is>
      </c>
      <c r="C29" s="16" t="n"/>
      <c r="D29" s="17" t="n"/>
      <c r="E29" s="18" t="n"/>
      <c r="F29" s="19" t="n"/>
      <c r="H29" s="16" t="n"/>
      <c r="I29" s="17" t="n"/>
      <c r="J29" s="18" t="n"/>
      <c r="K29" s="19" t="n"/>
    </row>
    <row r="30" ht="15" customHeight="1">
      <c r="A30" s="12" t="n">
        <v>5</v>
      </c>
      <c r="B30" s="13" t="inlineStr">
        <is>
          <t>Mapping MGT (Zoho)</t>
        </is>
      </c>
      <c r="C30" s="12">
        <f>IF(COUNTIF(C31:C34,FALSE())&gt;0,FALSE(),IF(COUNTIF(C31:C34,TRUE())=4,TRUE(),""))</f>
        <v/>
      </c>
      <c r="D30" s="12" t="n"/>
      <c r="E30" s="12" t="n"/>
      <c r="F30" s="12" t="n"/>
      <c r="H30" s="12">
        <f>IF(COUNTIF(H31:H34,"FAIL")&gt;0,"FAIL",IF(COUNTIF(H31:H34,"PASS")=4,"PASS",""))</f>
        <v/>
      </c>
      <c r="I30" s="12" t="n"/>
      <c r="J30" s="12" t="n"/>
      <c r="K30" s="12" t="n"/>
    </row>
    <row r="31" ht="15" customHeight="1">
      <c r="A31" s="14" t="n"/>
      <c r="B31" s="15" t="inlineStr">
        <is>
          <t>5.1 Customer (Account) หาเจอใน Zoho</t>
        </is>
      </c>
      <c r="C31" s="16" t="n"/>
      <c r="D31" s="17" t="n"/>
      <c r="E31" s="18" t="n"/>
      <c r="F31" s="19" t="n"/>
      <c r="H31" s="16" t="n"/>
      <c r="I31" s="17" t="n"/>
      <c r="J31" s="18" t="n"/>
      <c r="K31" s="19" t="n"/>
    </row>
    <row r="32" ht="15" customHeight="1">
      <c r="A32" s="14" t="n"/>
      <c r="B32" s="15" t="inlineStr">
        <is>
          <t>5.2 Deal เลือกได้ถูกต้อง (อัตโนมัติ / ค้นหาเอง)</t>
        </is>
      </c>
      <c r="C32" s="16" t="n"/>
      <c r="D32" s="17" t="n"/>
      <c r="E32" s="18" t="n"/>
      <c r="F32" s="19" t="n"/>
      <c r="H32" s="16" t="n"/>
      <c r="I32" s="17" t="n"/>
      <c r="J32" s="18" t="n"/>
      <c r="K32" s="19" t="n"/>
    </row>
    <row r="33" ht="15" customHeight="1">
      <c r="A33" s="14" t="n"/>
      <c r="B33" s="15" t="inlineStr">
        <is>
          <t>5.3 ที่อยู่ Sold-to / Ship-to จาก picklist ถูกต้อง</t>
        </is>
      </c>
      <c r="C33" s="16" t="n"/>
      <c r="D33" s="17" t="n"/>
      <c r="E33" s="18" t="n"/>
      <c r="F33" s="19" t="n"/>
      <c r="H33" s="16" t="n"/>
      <c r="I33" s="17" t="n"/>
      <c r="J33" s="18" t="n"/>
      <c r="K33" s="19" t="n"/>
    </row>
    <row r="34" ht="30" customHeight="1">
      <c r="A34" s="14" t="n"/>
      <c r="B34" s="15" t="inlineStr">
        <is>
          <t>5.4 รายการสินค้า match กับสินค้าใน Deal และหน่วยแปลงตาม Conversion Ratio ของ Deal</t>
        </is>
      </c>
      <c r="C34" s="16" t="n"/>
      <c r="D34" s="17" t="n"/>
      <c r="E34" s="18" t="n"/>
      <c r="F34" s="19" t="n"/>
      <c r="H34" s="16" t="n"/>
      <c r="I34" s="17" t="n"/>
      <c r="J34" s="18" t="n"/>
      <c r="K34" s="19" t="n"/>
    </row>
    <row r="35" ht="15" customHeight="1">
      <c r="A35" s="12" t="n">
        <v>6</v>
      </c>
      <c r="B35" s="13" t="inlineStr">
        <is>
          <t>แยกข้อมูลบริษัท &amp; การจำ Mapping</t>
        </is>
      </c>
      <c r="C35" s="12">
        <f>IF(COUNTIF(C36:C42,FALSE())&gt;0,FALSE(),IF(COUNTIF(C36:C42,TRUE())=7,TRUE(),""))</f>
        <v/>
      </c>
      <c r="D35" s="12" t="n"/>
      <c r="E35" s="12" t="n"/>
      <c r="F35" s="12" t="n"/>
      <c r="H35" s="12">
        <f>IF(COUNTIF(H36:H42,"FAIL")&gt;0,"FAIL",IF(COUNTIF(H36:H42,"PASS")=7,"PASS",""))</f>
        <v/>
      </c>
      <c r="I35" s="12" t="n"/>
      <c r="J35" s="12" t="n"/>
      <c r="K35" s="12" t="n"/>
    </row>
    <row r="36" ht="30" customHeight="1">
      <c r="A36" s="14" t="n"/>
      <c r="B36" s="15" t="inlineStr">
        <is>
          <t>6.1 ผู้ใช้ GLC เห็น/ค้นได้เฉพาะ รหัสสินค้า รหัสลูกค้า Ship-to ของ GLC (MGT เช่นเดียวกัน)</t>
        </is>
      </c>
      <c r="C36" s="16" t="n"/>
      <c r="D36" s="17" t="n"/>
      <c r="E36" s="18" t="n"/>
      <c r="F36" s="19" t="n"/>
      <c r="H36" s="16" t="n"/>
      <c r="I36" s="17" t="n"/>
      <c r="J36" s="18" t="n"/>
      <c r="K36" s="19" t="n"/>
    </row>
    <row r="37" ht="30" customHeight="1">
      <c r="A37" s="14" t="n"/>
      <c r="B37" s="15" t="inlineStr">
        <is>
          <t>6.2 Use &amp; Save บันทึก Master แยกตาม SalesOrg ของเอกสาร (1000 / 2000)</t>
        </is>
      </c>
      <c r="C37" s="16" t="n"/>
      <c r="D37" s="17" t="n"/>
      <c r="E37" s="18" t="n"/>
      <c r="F37" s="19" t="n"/>
      <c r="H37" s="16" t="n"/>
      <c r="I37" s="17" t="n"/>
      <c r="J37" s="18" t="n"/>
      <c r="K37" s="19" t="n"/>
    </row>
    <row r="38" ht="30" customHeight="1">
      <c r="A38" s="14" t="n"/>
      <c r="B38" s="15" t="inlineStr">
        <is>
          <t>6.3 Use &amp; Save แล้ว PO ใบถัดไปของลูกค้าเดิม → Material / Ship-to match เองได้</t>
        </is>
      </c>
      <c r="C38" s="16" t="n"/>
      <c r="D38" s="17" t="n"/>
      <c r="E38" s="18" t="n"/>
      <c r="F38" s="19" t="n"/>
      <c r="H38" s="16" t="n"/>
      <c r="I38" s="17" t="n"/>
      <c r="J38" s="18" t="n"/>
      <c r="K38" s="19" t="n"/>
    </row>
    <row r="39" ht="30" customHeight="1">
      <c r="A39" s="14" t="n"/>
      <c r="B39" s="15" t="inlineStr">
        <is>
          <t>6.4 Master ที่บันทึกจาก Use &amp; Save เก็บชื่อ/ที่อยู่ตามเอกสาร ส่วนรหัสเก็บใน *SAP column</t>
        </is>
      </c>
      <c r="C39" s="16" t="n"/>
      <c r="D39" s="17" t="n"/>
      <c r="E39" s="18" t="n"/>
      <c r="F39" s="19" t="n"/>
      <c r="H39" s="16" t="n"/>
      <c r="I39" s="17" t="n"/>
      <c r="J39" s="18" t="n"/>
      <c r="K39" s="19" t="n"/>
    </row>
    <row r="40" ht="30" customHeight="1">
      <c r="A40" s="14" t="n"/>
      <c r="B40" s="15" t="inlineStr">
        <is>
          <t>6.5 แก้ข้อมูลลูกค้าใน Master แล้ว เอกสารที่ Map ไว้แล้วยังคงค่าเดิม (ไม่ Map ใหม่อัตโนมัติ)</t>
        </is>
      </c>
      <c r="C40" s="16" t="n"/>
      <c r="D40" s="17" t="n"/>
      <c r="E40" s="18" t="n"/>
      <c r="F40" s="19" t="n"/>
      <c r="H40" s="16" t="n"/>
      <c r="I40" s="17" t="n"/>
      <c r="J40" s="18" t="n"/>
      <c r="K40" s="19" t="n"/>
    </row>
    <row r="41" ht="30" customHeight="1">
      <c r="A41" s="14" t="n"/>
      <c r="B41" s="15" t="inlineStr">
        <is>
          <t>6.6 เอกสารที่ส่งแล้ว (Post Success / Split) Mapping ล็อก แก้ไม่ได้</t>
        </is>
      </c>
      <c r="C41" s="16" t="n"/>
      <c r="D41" s="17" t="n"/>
      <c r="E41" s="18" t="n"/>
      <c r="F41" s="19" t="n"/>
      <c r="H41" s="16" t="n"/>
      <c r="I41" s="17" t="n"/>
      <c r="J41" s="18" t="n"/>
      <c r="K41" s="19" t="n"/>
    </row>
    <row r="42" ht="30" customHeight="1">
      <c r="A42" s="14" t="n"/>
      <c r="B42" s="15" t="inlineStr">
        <is>
          <t>6.7 บันทึกได้ว่าใครเป็นผู้ Map / ตรวจสอบแต่ละรายการสินค้า (ดูใน Audit Log)</t>
        </is>
      </c>
      <c r="C42" s="16" t="n"/>
      <c r="D42" s="17" t="n"/>
      <c r="E42" s="18" t="n"/>
      <c r="F42" s="19" t="n"/>
      <c r="H42" s="16" t="n"/>
      <c r="I42" s="17" t="n"/>
      <c r="J42" s="18" t="n"/>
      <c r="K42" s="19" t="n"/>
    </row>
    <row r="43" ht="15" customHeight="1">
      <c r="A43" s="12" t="n">
        <v>7</v>
      </c>
      <c r="B43" s="13" t="inlineStr">
        <is>
          <t>ค้นหาข้อมูลใน SAP / Zoho (Search)</t>
        </is>
      </c>
      <c r="C43" s="12">
        <f>IF(COUNTIF(C44:C52,FALSE())&gt;0,FALSE(),IF(COUNTIF(C44:C52,TRUE())=9,TRUE(),""))</f>
        <v/>
      </c>
      <c r="D43" s="12" t="n"/>
      <c r="E43" s="12" t="n"/>
      <c r="F43" s="12" t="n"/>
      <c r="H43" s="12">
        <f>IF(COUNTIF(H44:H52,"FAIL")&gt;0,"FAIL",IF(COUNTIF(H44:H52,"PASS")=9,"PASS",""))</f>
        <v/>
      </c>
      <c r="I43" s="12" t="n"/>
      <c r="J43" s="12" t="n"/>
      <c r="K43" s="12" t="n"/>
    </row>
    <row r="44" ht="30" customHeight="1">
      <c r="A44" s="14" t="n"/>
      <c r="B44" s="15" t="inlineStr">
        <is>
          <t>7.1 SAP Customer: ค้นด้วย Tax ID (ต้องตรงทั้งหมด) แล้วเจอลูกค้า</t>
        </is>
      </c>
      <c r="C44" s="16" t="n"/>
      <c r="D44" s="17" t="n"/>
      <c r="E44" s="18" t="n"/>
      <c r="F44" s="19" t="n"/>
      <c r="H44" s="16" t="n"/>
      <c r="I44" s="17" t="n"/>
      <c r="J44" s="18" t="n"/>
      <c r="K44" s="19" t="n"/>
    </row>
    <row r="45" ht="30" customHeight="1">
      <c r="A45" s="14" t="n"/>
      <c r="B45" s="15" t="inlineStr">
        <is>
          <t>7.2 SAP Customer: ค้นด้วยรหัสลูกค้า SAP (พิมพ์บางส่วนได้) แล้วเจอ</t>
        </is>
      </c>
      <c r="C45" s="16" t="n"/>
      <c r="D45" s="17" t="n"/>
      <c r="E45" s="18" t="n"/>
      <c r="F45" s="19" t="n"/>
      <c r="H45" s="16" t="n"/>
      <c r="I45" s="17" t="n"/>
      <c r="J45" s="18" t="n"/>
      <c r="K45" s="19" t="n"/>
    </row>
    <row r="46" ht="15" customHeight="1">
      <c r="A46" s="14" t="n"/>
      <c r="B46" s="15" t="inlineStr">
        <is>
          <t>7.3 SAP Customer: ค้นด้วยชื่อ (หลายคำ / ไทย-อังกฤษ) แล้วเจอ</t>
        </is>
      </c>
      <c r="C46" s="16" t="n"/>
      <c r="D46" s="17" t="n"/>
      <c r="E46" s="18" t="n"/>
      <c r="F46" s="19" t="n"/>
      <c r="H46" s="16" t="n"/>
      <c r="I46" s="17" t="n"/>
      <c r="J46" s="18" t="n"/>
      <c r="K46" s="19" t="n"/>
    </row>
    <row r="47" ht="15" customHeight="1">
      <c r="A47" s="14" t="n"/>
      <c r="B47" s="15" t="inlineStr">
        <is>
          <t>7.4 Zoho Account: ค้นด้วย Tax ID / Account Code / ชื่อ แล้วเจอ</t>
        </is>
      </c>
      <c r="C47" s="16" t="n"/>
      <c r="D47" s="17" t="n"/>
      <c r="E47" s="18" t="n"/>
      <c r="F47" s="19" t="n"/>
      <c r="H47" s="16" t="n"/>
      <c r="I47" s="17" t="n"/>
      <c r="J47" s="18" t="n"/>
      <c r="K47" s="19" t="n"/>
    </row>
    <row r="48" ht="30" customHeight="1">
      <c r="A48" s="14" t="n"/>
      <c r="B48" s="15" t="inlineStr">
        <is>
          <t>7.5 SAP Ship-to: แสดง Ship-to ที่ผูกกับ Sold-to ใน SAP และค้นด้วยชื่อเองได้</t>
        </is>
      </c>
      <c r="C48" s="16" t="n"/>
      <c r="D48" s="17" t="n"/>
      <c r="E48" s="18" t="n"/>
      <c r="F48" s="19" t="n"/>
      <c r="H48" s="16" t="n"/>
      <c r="I48" s="17" t="n"/>
      <c r="J48" s="18" t="n"/>
      <c r="K48" s="19" t="n"/>
    </row>
    <row r="49" ht="30" customHeight="1">
      <c r="A49" s="14" t="n"/>
      <c r="B49" s="15" t="inlineStr">
        <is>
          <t>7.6 Zoho Ship-to: แสดงที่อยู่จาก Account / Ship-to Module / Tax ID เดียวกัน</t>
        </is>
      </c>
      <c r="C49" s="16" t="n"/>
      <c r="D49" s="17" t="n"/>
      <c r="E49" s="18" t="n"/>
      <c r="F49" s="19" t="n"/>
      <c r="H49" s="16" t="n"/>
      <c r="I49" s="17" t="n"/>
      <c r="J49" s="18" t="n"/>
      <c r="K49" s="19" t="n"/>
    </row>
    <row r="50" ht="30" customHeight="1">
      <c r="A50" s="14" t="n"/>
      <c r="B50" s="15" t="inlineStr">
        <is>
          <t>7.7 Zoho Deal: ค้นด้วยชื่อ Deal ได้ (รวม Deal ที่ Closed หรือ Account Code ผิด)</t>
        </is>
      </c>
      <c r="C50" s="16" t="n"/>
      <c r="D50" s="17" t="n"/>
      <c r="E50" s="18" t="n"/>
      <c r="F50" s="19" t="n"/>
      <c r="H50" s="16" t="n"/>
      <c r="I50" s="17" t="n"/>
      <c r="J50" s="18" t="n"/>
      <c r="K50" s="19" t="n"/>
    </row>
    <row r="51" ht="30" customHeight="1">
      <c r="A51" s="14" t="n"/>
      <c r="B51" s="15" t="inlineStr">
        <is>
          <t>7.8 SAP Material: ค้นด้วยคำในชื่อสินค้า (≥ 2 ตัวอักษร พิมพ์เล็ก/ใหญ่ได้)</t>
        </is>
      </c>
      <c r="C51" s="16" t="n"/>
      <c r="D51" s="17" t="n"/>
      <c r="E51" s="18" t="n"/>
      <c r="F51" s="19" t="n"/>
      <c r="H51" s="16" t="n"/>
      <c r="I51" s="17" t="n"/>
      <c r="J51" s="18" t="n"/>
      <c r="K51" s="19" t="n"/>
    </row>
    <row r="52" ht="30" customHeight="1">
      <c r="A52" s="14" t="n"/>
      <c r="B52" s="15" t="inlineStr">
        <is>
          <t>7.9 Zoho Material: กรองสินค้าใน Deal ด้วยรหัส / ชื่อ / คำอธิบาย / Material Group</t>
        </is>
      </c>
      <c r="C52" s="16" t="n"/>
      <c r="D52" s="17" t="n"/>
      <c r="E52" s="18" t="n"/>
      <c r="F52" s="19" t="n"/>
      <c r="H52" s="16" t="n"/>
      <c r="I52" s="17" t="n"/>
      <c r="J52" s="18" t="n"/>
      <c r="K52" s="19" t="n"/>
    </row>
    <row r="53" ht="15" customHeight="1">
      <c r="A53" s="12" t="n">
        <v>8</v>
      </c>
      <c r="B53" s="13" t="inlineStr">
        <is>
          <t>ข้อมูลที่ต้องระบุในเอกสาร</t>
        </is>
      </c>
      <c r="C53" s="12">
        <f>IF(COUNTIF(C54:C59,FALSE())&gt;0,FALSE(),IF(COUNTIF(C54:C59,TRUE())=6,TRUE(),""))</f>
        <v/>
      </c>
      <c r="D53" s="12" t="n"/>
      <c r="E53" s="12" t="n"/>
      <c r="F53" s="12" t="n"/>
      <c r="H53" s="12">
        <f>IF(COUNTIF(H54:H59,"FAIL")&gt;0,"FAIL",IF(COUNTIF(H54:H59,"PASS")=6,"PASS",""))</f>
        <v/>
      </c>
      <c r="I53" s="12" t="n"/>
      <c r="J53" s="12" t="n"/>
      <c r="K53" s="12" t="n"/>
    </row>
    <row r="54" ht="15" customHeight="1">
      <c r="A54" s="14" t="n"/>
      <c r="B54" s="15" t="inlineStr">
        <is>
          <t>8.1 ช่อง Remark กรอก/แก้ได้ และบันทึกแล้วยังอยู่</t>
        </is>
      </c>
      <c r="C54" s="16" t="n"/>
      <c r="D54" s="17" t="n"/>
      <c r="E54" s="18" t="n"/>
      <c r="F54" s="19" t="n"/>
      <c r="H54" s="16" t="n"/>
      <c r="I54" s="17" t="n"/>
      <c r="J54" s="18" t="n"/>
      <c r="K54" s="19" t="n"/>
    </row>
    <row r="55" ht="15" customHeight="1">
      <c r="A55" s="14" t="n"/>
      <c r="B55" s="15" t="inlineStr">
        <is>
          <t>8.2 Remark ถูกส่งไปกับ Sales Order (SAP / Zoho)</t>
        </is>
      </c>
      <c r="C55" s="16" t="n"/>
      <c r="D55" s="17" t="n"/>
      <c r="E55" s="18" t="n"/>
      <c r="F55" s="19" t="n"/>
      <c r="H55" s="16" t="n"/>
      <c r="I55" s="17" t="n"/>
      <c r="J55" s="18" t="n"/>
      <c r="K55" s="19" t="n"/>
    </row>
    <row r="56" ht="15" customHeight="1">
      <c r="A56" s="14" t="n"/>
      <c r="B56" s="15" t="inlineStr">
        <is>
          <t>8.3 Item Note 1 มีช่องเดียวต่อรายการ แก้ได้รายบรรทัด</t>
        </is>
      </c>
      <c r="C56" s="16" t="n"/>
      <c r="D56" s="17" t="n"/>
      <c r="E56" s="18" t="n"/>
      <c r="F56" s="19" t="n"/>
      <c r="H56" s="16" t="n"/>
      <c r="I56" s="17" t="n"/>
      <c r="J56" s="18" t="n"/>
      <c r="K56" s="19" t="n"/>
    </row>
    <row r="57" ht="15" customHeight="1">
      <c r="A57" s="14" t="n"/>
      <c r="B57" s="15" t="inlineStr">
        <is>
          <t>8.4 Payment Term ของลูกค้าตรงกับ SAP Customer Master</t>
        </is>
      </c>
      <c r="C57" s="16" t="n"/>
      <c r="D57" s="17" t="n"/>
      <c r="E57" s="18" t="n"/>
      <c r="F57" s="19" t="n"/>
      <c r="H57" s="16" t="n"/>
      <c r="I57" s="17" t="n"/>
      <c r="J57" s="18" t="n"/>
      <c r="K57" s="19" t="n"/>
    </row>
    <row r="58" ht="15" customHeight="1">
      <c r="A58" s="14" t="n"/>
      <c r="B58" s="15" t="inlineStr">
        <is>
          <t>8.5 เอกสารไม่มีเลข PO → ส่งเลข PO เป็น "-"</t>
        </is>
      </c>
      <c r="C58" s="16" t="n"/>
      <c r="D58" s="17" t="n"/>
      <c r="E58" s="18" t="n"/>
      <c r="F58" s="19" t="n"/>
      <c r="H58" s="16" t="n"/>
      <c r="I58" s="17" t="n"/>
      <c r="J58" s="18" t="n"/>
      <c r="K58" s="19" t="n"/>
    </row>
    <row r="59" ht="15" customHeight="1">
      <c r="A59" s="14" t="n"/>
      <c r="B59" s="15" t="inlineStr">
        <is>
          <t>8.6 Sales Group ต้องระบุทุกครั้ง ถ้าว่าง → ส่งไม่ได้</t>
        </is>
      </c>
      <c r="C59" s="16" t="n"/>
      <c r="D59" s="17" t="n"/>
      <c r="E59" s="18" t="n"/>
      <c r="F59" s="19" t="n"/>
      <c r="H59" s="16" t="n"/>
      <c r="I59" s="17" t="n"/>
      <c r="J59" s="18" t="n"/>
      <c r="K59" s="19" t="n"/>
    </row>
    <row r="60" ht="15" customHeight="1">
      <c r="A60" s="12" t="n">
        <v>9</v>
      </c>
      <c r="B60" s="13" t="inlineStr">
        <is>
          <t>กรณีไม่มี Ship-to</t>
        </is>
      </c>
      <c r="C60" s="12">
        <f>IF(COUNTIF(C61:C65,FALSE())&gt;0,FALSE(),IF(COUNTIF(C61:C65,TRUE())=5,TRUE(),""))</f>
        <v/>
      </c>
      <c r="D60" s="12" t="n"/>
      <c r="E60" s="12" t="n"/>
      <c r="F60" s="12" t="n"/>
      <c r="H60" s="12">
        <f>IF(COUNTIF(H61:H65,"FAIL")&gt;0,"FAIL",IF(COUNTIF(H61:H65,"PASS")=5,"PASS",""))</f>
        <v/>
      </c>
      <c r="I60" s="12" t="n"/>
      <c r="J60" s="12" t="n"/>
      <c r="K60" s="12" t="n"/>
    </row>
    <row r="61" ht="30" customHeight="1">
      <c r="A61" s="14" t="n"/>
      <c r="B61" s="15" t="inlineStr">
        <is>
          <t>9.1 [GLC] เอกสารไม่มี Ship-to → ใช้ Sold-to เป็นผู้รับอัตโนมัติ พร้อมคำเตือน</t>
        </is>
      </c>
      <c r="C61" s="16" t="n"/>
      <c r="D61" s="17" t="n"/>
      <c r="E61" s="18" t="n"/>
      <c r="F61" s="19" t="n"/>
      <c r="H61" s="16" t="n"/>
      <c r="I61" s="17" t="n"/>
      <c r="J61" s="18" t="n"/>
      <c r="K61" s="19" t="n"/>
    </row>
    <row r="62" ht="30" customHeight="1">
      <c r="A62" s="14" t="n"/>
      <c r="B62" s="15" t="inlineStr">
        <is>
          <t>9.2 [GLC] เลือกเองได้: Ship-to จากรายการ / ใช้ Sold-to / ไม่ส่ง Ship-to</t>
        </is>
      </c>
      <c r="C62" s="16" t="n"/>
      <c r="D62" s="17" t="n"/>
      <c r="E62" s="18" t="n"/>
      <c r="F62" s="19" t="n"/>
      <c r="H62" s="16" t="n"/>
      <c r="I62" s="17" t="n"/>
      <c r="J62" s="18" t="n"/>
      <c r="K62" s="19" t="n"/>
    </row>
    <row r="63" ht="30" customHeight="1">
      <c r="A63" s="14" t="n"/>
      <c r="B63" s="15" t="inlineStr">
        <is>
          <t>9.3 [MGT] เอกสารไม่มี Ship-to → Mapping Incomplete จนกว่าจะเลือก Ship-to</t>
        </is>
      </c>
      <c r="C63" s="16" t="n"/>
      <c r="D63" s="17" t="n"/>
      <c r="E63" s="18" t="n"/>
      <c r="F63" s="19" t="n"/>
      <c r="H63" s="16" t="n"/>
      <c r="I63" s="17" t="n"/>
      <c r="J63" s="18" t="n"/>
      <c r="K63" s="19" t="n"/>
    </row>
    <row r="64" ht="30" customHeight="1">
      <c r="A64" s="14" t="n"/>
      <c r="B64" s="15" t="inlineStr">
        <is>
          <t>9.4 ลูกค้ามี Ship-to หลายแห่ง → ระบบแนะนำจากชื่อ/ที่อยู่ ให้ CS เลือก</t>
        </is>
      </c>
      <c r="C64" s="16" t="n"/>
      <c r="D64" s="17" t="n"/>
      <c r="E64" s="18" t="n"/>
      <c r="F64" s="19" t="n"/>
      <c r="H64" s="16" t="n"/>
      <c r="I64" s="17" t="n"/>
      <c r="J64" s="18" t="n"/>
      <c r="K64" s="19" t="n"/>
    </row>
    <row r="65" ht="30" customHeight="1">
      <c r="A65" s="14" t="n"/>
      <c r="B65" s="15" t="inlineStr">
        <is>
          <t>9.5 (รอ CS สรุป) ระบุ Ship-to ไม่ได้ → หยุดส่ง SAP สถานะ Pending Ship-to Selection</t>
        </is>
      </c>
      <c r="C65" s="16" t="n"/>
      <c r="D65" s="17" t="n"/>
      <c r="E65" s="18" t="n"/>
      <c r="F65" s="19" t="n"/>
      <c r="H65" s="16" t="n"/>
      <c r="I65" s="17" t="n"/>
      <c r="J65" s="18" t="n"/>
      <c r="K65" s="19" t="n"/>
    </row>
    <row r="66" ht="15" customHeight="1">
      <c r="A66" s="12" t="n">
        <v>10</v>
      </c>
      <c r="B66" s="13" t="inlineStr">
        <is>
          <t>แก้ไขข้อมูล &amp; AI Chat</t>
        </is>
      </c>
      <c r="C66" s="12">
        <f>IF(COUNTIF(C67:C68,FALSE())&gt;0,FALSE(),IF(COUNTIF(C67:C68,TRUE())=2,TRUE(),""))</f>
        <v/>
      </c>
      <c r="D66" s="12" t="n"/>
      <c r="E66" s="12" t="n"/>
      <c r="F66" s="12" t="n"/>
      <c r="H66" s="12">
        <f>IF(COUNTIF(H67:H68,"FAIL")&gt;0,"FAIL",IF(COUNTIF(H67:H68,"PASS")=2,"PASS",""))</f>
        <v/>
      </c>
      <c r="I66" s="12" t="n"/>
      <c r="J66" s="12" t="n"/>
      <c r="K66" s="12" t="n"/>
    </row>
    <row r="67" ht="15" customHeight="1">
      <c r="A67" s="14" t="n"/>
      <c r="B67" s="15" t="inlineStr">
        <is>
          <t>10.1 แก้ Header / รายการสินค้า แล้ว refresh ข้อมูลยังอยู่</t>
        </is>
      </c>
      <c r="C67" s="16" t="n"/>
      <c r="D67" s="17" t="n"/>
      <c r="E67" s="18" t="n"/>
      <c r="F67" s="19" t="n"/>
      <c r="H67" s="16" t="n"/>
      <c r="I67" s="17" t="n"/>
      <c r="J67" s="18" t="n"/>
      <c r="K67" s="19" t="n"/>
    </row>
    <row r="68" ht="15" customHeight="1">
      <c r="A68" s="14" t="n"/>
      <c r="B68" s="15" t="inlineStr">
        <is>
          <t>10.2 AI Chat แก้ข้อมูลได้ และข้อมูลเดิมไม่หาย</t>
        </is>
      </c>
      <c r="C68" s="16" t="n"/>
      <c r="D68" s="17" t="n"/>
      <c r="E68" s="18" t="n"/>
      <c r="F68" s="19" t="n"/>
      <c r="H68" s="16" t="n"/>
      <c r="I68" s="17" t="n"/>
      <c r="J68" s="18" t="n"/>
      <c r="K68" s="19" t="n"/>
    </row>
    <row r="69" ht="15" customHeight="1">
      <c r="A69" s="12" t="n">
        <v>11</v>
      </c>
      <c r="B69" s="13" t="inlineStr">
        <is>
          <t>ส่ง GLC → SAP</t>
        </is>
      </c>
      <c r="C69" s="12">
        <f>IF(COUNTIF(C70:C73,FALSE())&gt;0,FALSE(),IF(COUNTIF(C70:C73,TRUE())=4,TRUE(),""))</f>
        <v/>
      </c>
      <c r="D69" s="12" t="n"/>
      <c r="E69" s="12" t="n"/>
      <c r="F69" s="12" t="n"/>
      <c r="H69" s="12">
        <f>IF(COUNTIF(H70:H73,"FAIL")&gt;0,"FAIL",IF(COUNTIF(H70:H73,"PASS")=4,"PASS",""))</f>
        <v/>
      </c>
      <c r="I69" s="12" t="n"/>
      <c r="J69" s="12" t="n"/>
      <c r="K69" s="12" t="n"/>
    </row>
    <row r="70" ht="15" customHeight="1">
      <c r="A70" s="14" t="n"/>
      <c r="B70" s="15" t="inlineStr">
        <is>
          <t>11.1 View Payload ข้อมูลถูกต้อง</t>
        </is>
      </c>
      <c r="C70" s="16" t="n"/>
      <c r="D70" s="17" t="n"/>
      <c r="E70" s="18" t="n"/>
      <c r="F70" s="19" t="n"/>
      <c r="H70" s="16" t="n"/>
      <c r="I70" s="17" t="n"/>
      <c r="J70" s="18" t="n"/>
      <c r="K70" s="19" t="n"/>
    </row>
    <row r="71" ht="30" customHeight="1">
      <c r="A71" s="14" t="n"/>
      <c r="B71" s="15" t="inlineStr">
        <is>
          <t>11.2 ส่งสำเร็จ → แสดงเลข SO ของ SAP สถานะ Post Success และล็อกแก้ไม่ได้</t>
        </is>
      </c>
      <c r="C71" s="16" t="n"/>
      <c r="D71" s="17" t="n"/>
      <c r="E71" s="18" t="n"/>
      <c r="F71" s="19" t="n"/>
      <c r="H71" s="16" t="n"/>
      <c r="I71" s="17" t="n"/>
      <c r="J71" s="18" t="n"/>
      <c r="K71" s="19" t="n"/>
    </row>
    <row r="72" ht="15" customHeight="1">
      <c r="A72" s="14" t="n"/>
      <c r="B72" s="15" t="inlineStr">
        <is>
          <t>11.3 Item Note 1 ขึ้นใน Item Text ของ SAP (TH / EN)</t>
        </is>
      </c>
      <c r="C72" s="16" t="n"/>
      <c r="D72" s="17" t="n"/>
      <c r="E72" s="18" t="n"/>
      <c r="F72" s="19" t="n"/>
      <c r="H72" s="16" t="n"/>
      <c r="I72" s="17" t="n"/>
      <c r="J72" s="18" t="n"/>
      <c r="K72" s="19" t="n"/>
    </row>
    <row r="73" ht="30" customHeight="1">
      <c r="A73" s="14" t="n"/>
      <c r="B73" s="15" t="inlineStr">
        <is>
          <t>11.4 Delivery Date หลายวัน → ได้ SO แยกตามวัน ใช้ PO No. เดียวกัน</t>
        </is>
      </c>
      <c r="C73" s="16" t="n"/>
      <c r="D73" s="17" t="n"/>
      <c r="E73" s="18" t="n"/>
      <c r="F73" s="19" t="n"/>
      <c r="H73" s="16" t="n"/>
      <c r="I73" s="17" t="n"/>
      <c r="J73" s="18" t="n"/>
      <c r="K73" s="19" t="n"/>
    </row>
    <row r="74" ht="15" customHeight="1">
      <c r="A74" s="12" t="n">
        <v>12</v>
      </c>
      <c r="B74" s="13" t="inlineStr">
        <is>
          <t>ส่ง MGT → Zoho</t>
        </is>
      </c>
      <c r="C74" s="12">
        <f>IF(COUNTIF(C75:C78,FALSE())&gt;0,FALSE(),IF(COUNTIF(C75:C78,TRUE())=4,TRUE(),""))</f>
        <v/>
      </c>
      <c r="D74" s="12" t="n"/>
      <c r="E74" s="12" t="n"/>
      <c r="F74" s="12" t="n"/>
      <c r="H74" s="12">
        <f>IF(COUNTIF(H75:H78,"FAIL")&gt;0,"FAIL",IF(COUNTIF(H75:H78,"PASS")=4,"PASS",""))</f>
        <v/>
      </c>
      <c r="I74" s="12" t="n"/>
      <c r="J74" s="12" t="n"/>
      <c r="K74" s="12" t="n"/>
    </row>
    <row r="75" ht="30" customHeight="1">
      <c r="A75" s="14" t="n"/>
      <c r="B75" s="15" t="inlineStr">
        <is>
          <t>12.1 Preview ถูกต้อง (Subject, Customer Ref, Delivery Date, Conversion)</t>
        </is>
      </c>
      <c r="C75" s="16" t="n"/>
      <c r="D75" s="17" t="n"/>
      <c r="E75" s="18" t="n"/>
      <c r="F75" s="19" t="n"/>
      <c r="H75" s="16" t="n"/>
      <c r="I75" s="17" t="n"/>
      <c r="J75" s="18" t="n"/>
      <c r="K75" s="19" t="n"/>
    </row>
    <row r="76" ht="15" customHeight="1">
      <c r="A76" s="14" t="n"/>
      <c r="B76" s="15" t="inlineStr">
        <is>
          <t>12.2 ส่งสำเร็จ → แสดง Zoho SO ID ล็อกเอกสาร และส่งซ้ำไม่ได้</t>
        </is>
      </c>
      <c r="C76" s="16" t="n"/>
      <c r="D76" s="17" t="n"/>
      <c r="E76" s="18" t="n"/>
      <c r="F76" s="19" t="n"/>
      <c r="H76" s="16" t="n"/>
      <c r="I76" s="17" t="n"/>
      <c r="J76" s="18" t="n"/>
      <c r="K76" s="19" t="n"/>
    </row>
    <row r="77" ht="15" customHeight="1">
      <c r="A77" s="14" t="n"/>
      <c r="B77" s="15" t="inlineStr">
        <is>
          <t>12.3 Delivery Date หลายวัน → ได้หลาย SO ชื่อ (n/N)</t>
        </is>
      </c>
      <c r="C77" s="16" t="n"/>
      <c r="D77" s="17" t="n"/>
      <c r="E77" s="18" t="n"/>
      <c r="F77" s="19" t="n"/>
      <c r="H77" s="16" t="n"/>
      <c r="I77" s="17" t="n"/>
      <c r="J77" s="18" t="n"/>
      <c r="K77" s="19" t="n"/>
    </row>
    <row r="78" ht="30" customHeight="1">
      <c r="A78" s="14" t="n"/>
      <c r="B78" s="15" t="inlineStr">
        <is>
          <t>12.4 ส่งไม่ผ่านบางใบ → สถานะ Partially Posted และส่งเฉพาะใบที่เหลือ</t>
        </is>
      </c>
      <c r="C78" s="16" t="n"/>
      <c r="D78" s="17" t="n"/>
      <c r="E78" s="18" t="n"/>
      <c r="F78" s="19" t="n"/>
      <c r="H78" s="16" t="n"/>
      <c r="I78" s="17" t="n"/>
      <c r="J78" s="18" t="n"/>
      <c r="K78" s="19" t="n"/>
    </row>
    <row r="79" ht="15" customHeight="1">
      <c r="A79" s="12" t="n">
        <v>13</v>
      </c>
      <c r="B79" s="13" t="inlineStr">
        <is>
          <t>รายการเอกสาร &amp; การจัดเก็บไฟล์</t>
        </is>
      </c>
      <c r="C79" s="12">
        <f>IF(COUNTIF(C80:C84,FALSE())&gt;0,FALSE(),IF(COUNTIF(C80:C84,TRUE())=5,TRUE(),""))</f>
        <v/>
      </c>
      <c r="D79" s="12" t="n"/>
      <c r="E79" s="12" t="n"/>
      <c r="F79" s="12" t="n"/>
      <c r="H79" s="12">
        <f>IF(COUNTIF(H80:H84,"FAIL")&gt;0,"FAIL",IF(COUNTIF(H80:H84,"PASS")=5,"PASS",""))</f>
        <v/>
      </c>
      <c r="I79" s="12" t="n"/>
      <c r="J79" s="12" t="n"/>
      <c r="K79" s="12" t="n"/>
    </row>
    <row r="80" ht="15" customHeight="1">
      <c r="A80" s="14" t="n"/>
      <c r="B80" s="15" t="inlineStr">
        <is>
          <t>13.1 ค้นหา / กรองวันที่ / เปลี่ยนหน้า ในรายการ Sales Order</t>
        </is>
      </c>
      <c r="C80" s="16" t="n"/>
      <c r="D80" s="17" t="n"/>
      <c r="E80" s="18" t="n"/>
      <c r="F80" s="19" t="n"/>
      <c r="H80" s="16" t="n"/>
      <c r="I80" s="17" t="n"/>
      <c r="J80" s="18" t="n"/>
      <c r="K80" s="19" t="n"/>
    </row>
    <row r="81" ht="15" customHeight="1">
      <c r="A81" s="14" t="n"/>
      <c r="B81" s="15" t="inlineStr">
        <is>
          <t>13.2 ลบเอกสารที่ยังไม่ส่งได้ (ที่ส่งแล้วลบไม่ได้)</t>
        </is>
      </c>
      <c r="C81" s="16" t="n"/>
      <c r="D81" s="17" t="n"/>
      <c r="E81" s="18" t="n"/>
      <c r="F81" s="19" t="n"/>
      <c r="H81" s="16" t="n"/>
      <c r="I81" s="17" t="n"/>
      <c r="J81" s="18" t="n"/>
      <c r="K81" s="19" t="n"/>
    </row>
    <row r="82" ht="15" customHeight="1">
      <c r="A82" s="14" t="n"/>
      <c r="B82" s="15" t="inlineStr">
        <is>
          <t>13.3 ผู้ใช้ MGT เห็นเฉพาะเอกสาร MGT / GLC เห็นเฉพาะ GLC</t>
        </is>
      </c>
      <c r="C82" s="16" t="n"/>
      <c r="D82" s="17" t="n"/>
      <c r="E82" s="18" t="n"/>
      <c r="F82" s="19" t="n"/>
      <c r="H82" s="16" t="n"/>
      <c r="I82" s="17" t="n"/>
      <c r="J82" s="18" t="n"/>
      <c r="K82" s="19" t="n"/>
    </row>
    <row r="83" ht="15" customHeight="1">
      <c r="A83" s="14" t="n"/>
      <c r="B83" s="15" t="inlineStr">
        <is>
          <t>13.4 ส่งสำเร็จแล้วไฟล์ขึ้น SharePoint (ดูที่หน้า Archive)</t>
        </is>
      </c>
      <c r="C83" s="16" t="n"/>
      <c r="D83" s="17" t="n"/>
      <c r="E83" s="18" t="n"/>
      <c r="F83" s="19" t="n"/>
      <c r="H83" s="16" t="n"/>
      <c r="I83" s="17" t="n"/>
      <c r="J83" s="18" t="n"/>
      <c r="K83" s="19" t="n"/>
    </row>
    <row r="84" ht="15" customHeight="1">
      <c r="A84" s="14" t="n"/>
      <c r="B84" s="15" t="inlineStr">
        <is>
          <t>13.5 เอกสารไม่ส่ง → มีป้ายเตือน File removed in… / File expired</t>
        </is>
      </c>
      <c r="C84" s="16" t="n"/>
      <c r="D84" s="17" t="n"/>
      <c r="E84" s="18" t="n"/>
      <c r="F84" s="19" t="n"/>
      <c r="H84" s="16" t="n"/>
      <c r="I84" s="17" t="n"/>
      <c r="J84" s="18" t="n"/>
      <c r="K84" s="19" t="n"/>
    </row>
  </sheetData>
  <conditionalFormatting sqref="C5:C84">
    <cfRule type="expression" priority="2" dxfId="1">
      <formula>C5=1</formula>
    </cfRule>
    <cfRule type="expression" priority="3" dxfId="0">
      <formula>C5=0</formula>
    </cfRule>
  </conditionalFormatting>
  <conditionalFormatting sqref="H5:H84">
    <cfRule type="cellIs" priority="4" operator="equal" dxfId="1">
      <formula>"PASS"</formula>
    </cfRule>
    <cfRule type="cellIs" priority="5" operator="equal" dxfId="0">
      <formula>"FAIL"</formula>
    </cfRule>
  </conditionalFormatting>
  <dataValidations count="2">
    <dataValidation sqref="C6:C11 C13:C17 C19:C23 C25:C29 C31:C34 C36:C42 C44:C52 C54:C59 C61:C65 C67:C68 C70:C73 C75:C78 C80:C84" showDropDown="0" showInputMessage="0" showErrorMessage="0" allowBlank="1" type="list">
      <formula1>"TRUE,FALSE"</formula1>
    </dataValidation>
    <dataValidation sqref="H6:H11 H13:H17 H19:H23 H25:H29 H31:H34 H36:H42 H44:H52 H54:H59 H61:H65 H67:H68 H70:H73 H75:H78 H80:H84" showDropDown="0" showInputMessage="0" showErrorMessage="0" allowBlank="1" type="list">
      <formula1>"PASS,FAIL"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9" customWidth="1" min="4" max="4"/>
    <col width="52" customWidth="1" min="5" max="5"/>
    <col width="11" customWidth="1" min="6" max="6"/>
  </cols>
  <sheetData>
    <row r="1">
      <c r="A1" s="21" t="inlineStr">
        <is>
          <t>No.</t>
        </is>
      </c>
      <c r="B1" s="21" t="inlineStr">
        <is>
          <t>หัวข้อ</t>
        </is>
      </c>
      <c r="C1" s="21" t="inlineStr">
        <is>
          <t>Business Rule</t>
        </is>
      </c>
      <c r="D1" s="21" t="inlineStr">
        <is>
          <t>ใช้กับ</t>
        </is>
      </c>
      <c r="E1" s="21" t="inlineStr">
        <is>
          <t>ระบบตอนนี้ (จากโค้ด 6 ต.ค. 2026)</t>
        </is>
      </c>
      <c r="F1" s="21" t="inlineStr">
        <is>
          <t>Test Case</t>
        </is>
      </c>
    </row>
    <row r="2">
      <c r="A2" s="22" t="n">
        <v>1</v>
      </c>
      <c r="B2" s="23" t="inlineStr">
        <is>
          <t>หน่วยสินค้า</t>
        </is>
      </c>
      <c r="C2" s="23" t="inlineStr">
        <is>
          <t>การเลือกหน่วยสินค้าครั้งแรกให้ลูกค้า: CS สอบถาม Sales ก่อน แล้วเลือกหน่วยในระบบ</t>
        </is>
      </c>
      <c r="D2" s="22" t="inlineStr">
        <is>
          <t>GLC</t>
        </is>
      </c>
      <c r="E2" s="23" t="inlineStr">
        <is>
          <t>มี popup ให้เลือก/ยืนยันหน่วยตอนเลือกสินค้าครั้งแรก</t>
        </is>
      </c>
      <c r="F2" s="22" t="inlineStr">
        <is>
          <t>2.2</t>
        </is>
      </c>
    </row>
    <row r="3">
      <c r="A3" s="22" t="n">
        <v>2</v>
      </c>
      <c r="B3" s="23" t="inlineStr">
        <is>
          <t>หน่วยสินค้า</t>
        </is>
      </c>
      <c r="C3" s="23" t="inlineStr">
        <is>
          <t>ไม่ต้องแปลงหน่วย: สินค้า GLC ใช้ KG เป็น Base Unit</t>
        </is>
      </c>
      <c r="D3" s="22" t="inlineStr">
        <is>
          <t>GLC</t>
        </is>
      </c>
      <c r="E3" s="23" t="inlineStr">
        <is>
          <t>ส่งหน่วยตามเอกสาร Factor = 1 (กิโลกรัม→KG, กรัม→G)</t>
        </is>
      </c>
      <c r="F3" s="22" t="inlineStr">
        <is>
          <t>2.3, 2.4</t>
        </is>
      </c>
    </row>
    <row r="4">
      <c r="A4" s="22" t="n">
        <v>3</v>
      </c>
      <c r="B4" s="23" t="inlineStr">
        <is>
          <t>หน่วยสินค้า</t>
        </is>
      </c>
      <c r="C4" s="23" t="inlineStr">
        <is>
          <t>เลือกรหัสสินค้าถูกต้อง → แสดง Last Price</t>
        </is>
      </c>
      <c r="D4" s="22" t="inlineStr">
        <is>
          <t>GLC</t>
        </is>
      </c>
      <c r="E4" s="23" t="inlineStr">
        <is>
          <t>ดึง Last Price จาก SAP Billing แสดงประกอบ ไม่บันทึกลงเอกสาร</t>
        </is>
      </c>
      <c r="F4" s="22" t="inlineStr">
        <is>
          <t>2.1</t>
        </is>
      </c>
    </row>
    <row r="5">
      <c r="A5" s="22" t="n">
        <v>4</v>
      </c>
      <c r="B5" s="23" t="inlineStr">
        <is>
          <t>VAT</t>
        </is>
      </c>
      <c r="C5" s="23" t="inlineStr">
        <is>
          <t>รายการ GLC ที่มี VAT ให้คิดแบบ Exclude VAT และแสดง VAT ท้ายบิล</t>
        </is>
      </c>
      <c r="D5" s="22" t="inlineStr">
        <is>
          <t>GLC</t>
        </is>
      </c>
      <c r="E5" s="23" t="inlineStr">
        <is>
          <t>ค่าเริ่มต้น Exclude (7%) เมื่อเอกสารไม่แยก VAT; ใช้ยอดในเอกสารเมื่อแยกมาแล้ว; เป็นการแสดงผล ไม่กระทบ payload SAP</t>
        </is>
      </c>
      <c r="F5" s="22" t="inlineStr">
        <is>
          <t>3.1–3.3</t>
        </is>
      </c>
    </row>
    <row r="6">
      <c r="A6" s="22" t="n">
        <v>5</v>
      </c>
      <c r="B6" s="23" t="inlineStr">
        <is>
          <t>VAT</t>
        </is>
      </c>
      <c r="C6" s="23" t="inlineStr">
        <is>
          <t>สกุลเงิน USD ไม่คำนวณ VAT</t>
        </is>
      </c>
      <c r="D6" s="22" t="inlineStr">
        <is>
          <t>ทั้งคู่</t>
        </is>
      </c>
      <c r="E6" s="23" t="inlineStr">
        <is>
          <t>VAT = 0 และซ่อนตัวเลือกโหมด VAT</t>
        </is>
      </c>
      <c r="F6" s="22" t="inlineStr">
        <is>
          <t>3.4</t>
        </is>
      </c>
    </row>
    <row r="7">
      <c r="A7" s="22" t="n">
        <v>6</v>
      </c>
      <c r="B7" s="23" t="inlineStr">
        <is>
          <t>Mapping</t>
        </is>
      </c>
      <c r="C7" s="23" t="inlineStr">
        <is>
          <t>ไม่พบสินค้า (เช่น Speckare) → ตรวจสอบ Product Master</t>
        </is>
      </c>
      <c r="D7" s="22" t="inlineStr">
        <is>
          <t>ทั้งคู่</t>
        </is>
      </c>
      <c r="E7" s="23" t="inlineStr">
        <is>
          <t>ขึ้น Not found; ค้นใน SAP ได้เฉพาะคำในชื่อสินค้า</t>
        </is>
      </c>
      <c r="F7" s="22" t="inlineStr">
        <is>
          <t>4.4, 7.8</t>
        </is>
      </c>
    </row>
    <row r="8">
      <c r="A8" s="22" t="n">
        <v>7</v>
      </c>
      <c r="B8" s="23" t="inlineStr">
        <is>
          <t>Mapping</t>
        </is>
      </c>
      <c r="C8" s="23" t="inlineStr">
        <is>
          <t>แยกรหัสสินค้า รหัสลูกค้า Ship-to ระหว่าง GLC และ MGT</t>
        </is>
      </c>
      <c r="D8" s="22" t="inlineStr">
        <is>
          <t>ทั้งคู่</t>
        </is>
      </c>
      <c r="E8" s="23" t="inlineStr">
        <is>
          <t>Master กรองตาม SalesOrg ของผู้ใช้/เอกสาร</t>
        </is>
      </c>
      <c r="F8" s="22" t="inlineStr">
        <is>
          <t>6.1, 6.2</t>
        </is>
      </c>
    </row>
    <row r="9">
      <c r="A9" s="22" t="n">
        <v>8</v>
      </c>
      <c r="B9" s="23" t="inlineStr">
        <is>
          <t>Mapping</t>
        </is>
      </c>
      <c r="C9" s="23" t="inlineStr">
        <is>
          <t>ข้อมูลลูกค้าเปลี่ยน → เอกสารที่ Map แล้วคงค่าเดิม ไม่ Map ใหม่อัตโนมัติ</t>
        </is>
      </c>
      <c r="D9" s="22" t="inlineStr">
        <is>
          <t>ทั้งคู่</t>
        </is>
      </c>
      <c r="E9" s="23" t="inlineStr">
        <is>
          <t>ใช้ค่าที่เอกสารเคยเลือกไว้ก่อน (savedCustomer/savedShipTo); เอกสารที่ส่งแล้วล็อก</t>
        </is>
      </c>
      <c r="F9" s="22" t="inlineStr">
        <is>
          <t>6.5, 6.6</t>
        </is>
      </c>
    </row>
    <row r="10">
      <c r="A10" s="22" t="n">
        <v>9</v>
      </c>
      <c r="B10" s="23" t="inlineStr">
        <is>
          <t>Mapping</t>
        </is>
      </c>
      <c r="C10" s="23" t="inlineStr">
        <is>
          <t>บันทึกว่า Sales ท่านใด Map / ตรวจสอบแต่ละรายการสินค้า</t>
        </is>
      </c>
      <c r="D10" s="22" t="inlineStr">
        <is>
          <t>ทั้งคู่</t>
        </is>
      </c>
      <c r="E10" s="24" t="inlineStr">
        <is>
          <t>ยังไม่มี: Audit Log บันทึกแค่ "Edited document data" ระดับเอกสาร ไม่แยกรายการ</t>
        </is>
      </c>
      <c r="F10" s="22" t="inlineStr">
        <is>
          <t>6.7</t>
        </is>
      </c>
    </row>
    <row r="11">
      <c r="A11" s="22" t="n">
        <v>10</v>
      </c>
      <c r="B11" s="23" t="inlineStr">
        <is>
          <t>Mapping</t>
        </is>
      </c>
      <c r="C11" s="23" t="inlineStr">
        <is>
          <t>Use &amp; Save จำ Mapping ไว้ใช้ครั้งหน้า (ชื่อ/ที่อยู่ตามเอกสาร)</t>
        </is>
      </c>
      <c r="D11" s="22" t="inlineStr">
        <is>
          <t>ทั้งคู่</t>
        </is>
      </c>
      <c r="E11" s="23" t="inlineStr">
        <is>
          <t>แก้แล้ว 6 ต.ค. 2026</t>
        </is>
      </c>
      <c r="F11" s="22" t="inlineStr">
        <is>
          <t>6.3, 6.4</t>
        </is>
      </c>
    </row>
    <row r="12">
      <c r="A12" s="22" t="n">
        <v>11</v>
      </c>
      <c r="B12" s="23" t="inlineStr">
        <is>
          <t>ข้อมูลเอกสาร</t>
        </is>
      </c>
      <c r="C12" s="23" t="inlineStr">
        <is>
          <t>เพิ่มช่อง Remark</t>
        </is>
      </c>
      <c r="D12" s="22" t="inlineStr">
        <is>
          <t>ทั้งคู่</t>
        </is>
      </c>
      <c r="E12" s="24" t="inlineStr">
        <is>
          <t>มีช่อง Remark ในเอกสาร แต่ยังไม่ส่งไป SAP / Zoho</t>
        </is>
      </c>
      <c r="F12" s="22" t="inlineStr">
        <is>
          <t>8.1, 8.2</t>
        </is>
      </c>
    </row>
    <row r="13">
      <c r="A13" s="22" t="n">
        <v>12</v>
      </c>
      <c r="B13" s="23" t="inlineStr">
        <is>
          <t>ข้อมูลเอกสาร</t>
        </is>
      </c>
      <c r="C13" s="23" t="inlineStr">
        <is>
          <t>Item Note 1 ช่องเดียว</t>
        </is>
      </c>
      <c r="D13" s="22" t="inlineStr">
        <is>
          <t>ทั้งคู่</t>
        </is>
      </c>
      <c r="E13" s="23" t="inlineStr">
        <is>
          <t>มีแล้ว; SAP = Item Text, Zoho = Status_Note</t>
        </is>
      </c>
      <c r="F13" s="22" t="inlineStr">
        <is>
          <t>8.3, 11.3</t>
        </is>
      </c>
    </row>
    <row r="14">
      <c r="A14" s="22" t="n">
        <v>13</v>
      </c>
      <c r="B14" s="23" t="inlineStr">
        <is>
          <t>ข้อมูลเอกสาร</t>
        </is>
      </c>
      <c r="C14" s="23" t="inlineStr">
        <is>
          <t>ตรวจ Payment Term ของลูกค้าจาก SAP</t>
        </is>
      </c>
      <c r="D14" s="22" t="inlineStr">
        <is>
          <t>GLC</t>
        </is>
      </c>
      <c r="E14" s="23" t="inlineStr">
        <is>
          <t>ไม่ส่ง Payment Term ใน payload; SAP ดึงจาก Customer Master เอง</t>
        </is>
      </c>
      <c r="F14" s="22" t="inlineStr">
        <is>
          <t>8.4</t>
        </is>
      </c>
    </row>
    <row r="15">
      <c r="A15" s="22" t="n">
        <v>14</v>
      </c>
      <c r="B15" s="23" t="inlineStr">
        <is>
          <t>ข้อมูลเอกสาร</t>
        </is>
      </c>
      <c r="C15" s="23" t="inlineStr">
        <is>
          <t>ไม่มีเลข PO → ระบุ "-"</t>
        </is>
      </c>
      <c r="D15" s="22" t="inlineStr">
        <is>
          <t>GLC</t>
        </is>
      </c>
      <c r="E15" s="23" t="inlineStr">
        <is>
          <t>มีแล้ว (PurchaseOrderByCustomer = "-")</t>
        </is>
      </c>
      <c r="F15" s="22" t="inlineStr">
        <is>
          <t>8.5</t>
        </is>
      </c>
    </row>
    <row r="16">
      <c r="A16" s="22" t="n">
        <v>15</v>
      </c>
      <c r="B16" s="23" t="inlineStr">
        <is>
          <t>ข้อมูลเอกสาร</t>
        </is>
      </c>
      <c r="C16" s="23" t="inlineStr">
        <is>
          <t>ต้องระบุ Sales Group ทุกครั้ง</t>
        </is>
      </c>
      <c r="D16" s="22" t="inlineStr">
        <is>
          <t>GLC</t>
        </is>
      </c>
      <c r="E16" s="24" t="inlineStr">
        <is>
          <t>ส่งเมื่อมีค่า แต่ยังไม่บังคับ (ว่างก็ส่งได้)</t>
        </is>
      </c>
      <c r="F16" s="22" t="inlineStr">
        <is>
          <t>8.6</t>
        </is>
      </c>
    </row>
    <row r="17">
      <c r="A17" s="22" t="n">
        <v>16</v>
      </c>
      <c r="B17" s="23" t="inlineStr">
        <is>
          <t>Ship-to</t>
        </is>
      </c>
      <c r="C17" s="23" t="inlineStr">
        <is>
          <t>เอกสารไม่ระบุ Ship-to: ต้องกำหนดแนวทางกับ CS (ค่าเริ่มต้น / ให้เลือกเอง / อ้างอิง Customer Master)</t>
        </is>
      </c>
      <c r="D17" s="22" t="inlineStr">
        <is>
          <t>ทั้งคู่</t>
        </is>
      </c>
      <c r="E17" s="23" t="inlineStr">
        <is>
          <t>GLC ใช้ Sold-to อัตโนมัติ + เลือกเองได้; MGT บังคับเลือก</t>
        </is>
      </c>
      <c r="F17" s="22" t="inlineStr">
        <is>
          <t>9.1–9.4</t>
        </is>
      </c>
    </row>
    <row r="18">
      <c r="A18" s="22" t="n">
        <v>17</v>
      </c>
      <c r="B18" s="23" t="inlineStr">
        <is>
          <t>Ship-to</t>
        </is>
      </c>
      <c r="C18" s="23" t="inlineStr">
        <is>
          <t>ระบุ Ship-to ไม่ได้ → หยุดส่ง SAP สถานะ Pending Ship-to Selection</t>
        </is>
      </c>
      <c r="D18" s="22" t="inlineStr">
        <is>
          <t>ทั้งคู่</t>
        </is>
      </c>
      <c r="E18" s="24" t="inlineStr">
        <is>
          <t>ยังไม่มี (รอ CS สรุปแนวทาง)</t>
        </is>
      </c>
      <c r="F18" s="22" t="inlineStr">
        <is>
          <t>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2026-10-05T16:47:07Z</dcterms:created>
  <dcterms:modified xmlns:dcterms="http://purl.org/dc/terms/" xmlns:xsi="http://www.w3.org/2001/XMLSchema-instance" xsi:type="dcterms:W3CDTF">2026-10-06T08:20:19Z</dcterms:modified>
  <cp:lastModifiedBy>MGT-IT Sukanya</cp:lastModifiedBy>
  <cp:revision>0</cp:revision>
</cp:coreProperties>
</file>